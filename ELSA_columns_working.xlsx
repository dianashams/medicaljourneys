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ab\Desktop\PhD Projects\Ensemble methods\GitHub_App\medicaljourneys\"/>
    </mc:Choice>
  </mc:AlternateContent>
  <xr:revisionPtr revIDLastSave="0" documentId="8_{5F5E3A0A-69CA-4417-9379-3DC57D97B437}" xr6:coauthVersionLast="47" xr6:coauthVersionMax="47" xr10:uidLastSave="{00000000-0000-0000-0000-000000000000}"/>
  <bookViews>
    <workbookView xWindow="315" yWindow="1350" windowWidth="15930" windowHeight="13635" xr2:uid="{EF4FB36C-45BE-4CA8-96E3-8C4736BA7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" i="1" l="1"/>
  <c r="O73" i="1" s="1"/>
  <c r="O74" i="1" s="1"/>
  <c r="O75" i="1" s="1"/>
  <c r="O76" i="1" s="1"/>
  <c r="O77" i="1" s="1"/>
  <c r="O78" i="1" s="1"/>
  <c r="O79" i="1" s="1"/>
  <c r="O80" i="1" s="1"/>
  <c r="M72" i="1"/>
  <c r="M73" i="1" s="1"/>
  <c r="M74" i="1" s="1"/>
  <c r="M75" i="1" s="1"/>
  <c r="M76" i="1" s="1"/>
  <c r="M77" i="1" s="1"/>
  <c r="M78" i="1" s="1"/>
  <c r="M79" i="1" s="1"/>
  <c r="M80" i="1" s="1"/>
  <c r="K73" i="1"/>
  <c r="K74" i="1" s="1"/>
  <c r="K75" i="1" s="1"/>
  <c r="K76" i="1" s="1"/>
  <c r="K77" i="1" s="1"/>
  <c r="K78" i="1" s="1"/>
  <c r="K79" i="1" s="1"/>
  <c r="K80" i="1" s="1"/>
  <c r="K72" i="1"/>
  <c r="I72" i="1"/>
  <c r="I73" i="1"/>
  <c r="I74" i="1" s="1"/>
  <c r="I75" i="1" s="1"/>
  <c r="I76" i="1" s="1"/>
  <c r="I77" i="1" s="1"/>
  <c r="I78" i="1" s="1"/>
  <c r="I79" i="1" s="1"/>
  <c r="I80" i="1" s="1"/>
  <c r="I82" i="1" s="1"/>
  <c r="I83" i="1" s="1"/>
  <c r="I84" i="1" s="1"/>
  <c r="I85" i="1" s="1"/>
  <c r="I86" i="1" s="1"/>
  <c r="I87" i="1" s="1"/>
  <c r="I88" i="1" s="1"/>
  <c r="I89" i="1" s="1"/>
  <c r="G75" i="1"/>
  <c r="G74" i="1"/>
  <c r="G73" i="1"/>
  <c r="G72" i="1"/>
  <c r="G76" i="1" s="1"/>
  <c r="G77" i="1" s="1"/>
  <c r="G78" i="1" s="1"/>
  <c r="G79" i="1" s="1"/>
  <c r="G80" i="1" s="1"/>
  <c r="G81" i="1" s="1"/>
  <c r="G82" i="1" s="1"/>
  <c r="G83" i="1" s="1"/>
  <c r="G84" i="1" s="1"/>
  <c r="E74" i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73" i="1"/>
  <c r="E72" i="1"/>
  <c r="C74" i="1"/>
  <c r="C75" i="1"/>
  <c r="C76" i="1"/>
  <c r="C77" i="1"/>
  <c r="C78" i="1"/>
  <c r="C79" i="1"/>
  <c r="C80" i="1"/>
  <c r="C81" i="1" s="1"/>
  <c r="C82" i="1" s="1"/>
  <c r="C83" i="1" s="1"/>
  <c r="C84" i="1" s="1"/>
  <c r="C85" i="1" s="1"/>
  <c r="C73" i="1"/>
  <c r="C72" i="1"/>
  <c r="E51" i="1"/>
  <c r="G51" i="1"/>
  <c r="I51" i="1"/>
  <c r="K51" i="1"/>
  <c r="M51" i="1"/>
  <c r="O51" i="1"/>
  <c r="E52" i="1"/>
  <c r="G52" i="1"/>
  <c r="I52" i="1"/>
  <c r="K52" i="1"/>
  <c r="M52" i="1"/>
  <c r="O52" i="1"/>
  <c r="E53" i="1"/>
  <c r="G53" i="1"/>
  <c r="I53" i="1"/>
  <c r="K53" i="1"/>
  <c r="M53" i="1"/>
  <c r="O53" i="1"/>
  <c r="E54" i="1"/>
  <c r="G54" i="1"/>
  <c r="I54" i="1"/>
  <c r="K54" i="1"/>
  <c r="M54" i="1"/>
  <c r="O54" i="1"/>
  <c r="E55" i="1"/>
  <c r="G55" i="1"/>
  <c r="I55" i="1"/>
  <c r="K55" i="1"/>
  <c r="M55" i="1"/>
  <c r="O55" i="1"/>
  <c r="E56" i="1"/>
  <c r="G56" i="1"/>
  <c r="I56" i="1"/>
  <c r="K56" i="1"/>
  <c r="M56" i="1"/>
  <c r="O56" i="1"/>
  <c r="E57" i="1"/>
  <c r="G57" i="1"/>
  <c r="I57" i="1"/>
  <c r="K57" i="1"/>
  <c r="M57" i="1"/>
  <c r="O57" i="1"/>
  <c r="E58" i="1"/>
  <c r="G58" i="1"/>
  <c r="I58" i="1"/>
  <c r="K58" i="1"/>
  <c r="M58" i="1"/>
  <c r="O58" i="1"/>
  <c r="E59" i="1"/>
  <c r="G59" i="1"/>
  <c r="I59" i="1"/>
  <c r="K59" i="1"/>
  <c r="M59" i="1"/>
  <c r="O59" i="1"/>
  <c r="E60" i="1"/>
  <c r="G60" i="1"/>
  <c r="E61" i="1"/>
  <c r="G61" i="1"/>
  <c r="E62" i="1"/>
  <c r="G62" i="1"/>
  <c r="E63" i="1"/>
  <c r="G63" i="1"/>
  <c r="E64" i="1"/>
  <c r="E65" i="1"/>
  <c r="E66" i="1"/>
  <c r="E67" i="1"/>
  <c r="E68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51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E43" i="1"/>
  <c r="F43" i="1"/>
  <c r="E44" i="1"/>
  <c r="F44" i="1"/>
  <c r="E45" i="1"/>
  <c r="F45" i="1"/>
  <c r="E46" i="1"/>
  <c r="F46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C29" i="1"/>
</calcChain>
</file>

<file path=xl/sharedStrings.xml><?xml version="1.0" encoding="utf-8"?>
<sst xmlns="http://schemas.openxmlformats.org/spreadsheetml/2006/main" count="207" uniqueCount="121">
  <si>
    <t>idauniq</t>
  </si>
  <si>
    <t>yob</t>
  </si>
  <si>
    <t>yod</t>
  </si>
  <si>
    <t>sex</t>
  </si>
  <si>
    <t>eth</t>
  </si>
  <si>
    <t>edu</t>
  </si>
  <si>
    <t>wealth</t>
  </si>
  <si>
    <t>date1</t>
  </si>
  <si>
    <t>date2</t>
  </si>
  <si>
    <t>date3</t>
  </si>
  <si>
    <t>date4</t>
  </si>
  <si>
    <t>date5</t>
  </si>
  <si>
    <t>date6</t>
  </si>
  <si>
    <t>date7</t>
  </si>
  <si>
    <t>date8</t>
  </si>
  <si>
    <t>date9</t>
  </si>
  <si>
    <t>angina</t>
  </si>
  <si>
    <t>heartattack</t>
  </si>
  <si>
    <t>chf</t>
  </si>
  <si>
    <t>diabetes</t>
  </si>
  <si>
    <t>stroke</t>
  </si>
  <si>
    <t>arthritis</t>
  </si>
  <si>
    <t>cancer</t>
  </si>
  <si>
    <t>parkinson</t>
  </si>
  <si>
    <t>psych</t>
  </si>
  <si>
    <t>last_period</t>
  </si>
  <si>
    <t>alzheimer</t>
  </si>
  <si>
    <t>dementia</t>
  </si>
  <si>
    <t>died</t>
  </si>
  <si>
    <t>depression</t>
  </si>
  <si>
    <t>lung</t>
  </si>
  <si>
    <t>hibp</t>
  </si>
  <si>
    <t>diab</t>
  </si>
  <si>
    <t>cancr</t>
  </si>
  <si>
    <t>heart</t>
  </si>
  <si>
    <t>strok</t>
  </si>
  <si>
    <t>arthr</t>
  </si>
  <si>
    <t>asthma</t>
  </si>
  <si>
    <t>catract</t>
  </si>
  <si>
    <t>parkin</t>
  </si>
  <si>
    <t>hip</t>
  </si>
  <si>
    <t>angin</t>
  </si>
  <si>
    <t>hrtatt</t>
  </si>
  <si>
    <t>hrtrhm</t>
  </si>
  <si>
    <t>hrtmr</t>
  </si>
  <si>
    <t>osteo</t>
  </si>
  <si>
    <t>hyster</t>
  </si>
  <si>
    <t>child_infect</t>
  </si>
  <si>
    <t>child_asthma</t>
  </si>
  <si>
    <t>child_resp</t>
  </si>
  <si>
    <t>child_allerg</t>
  </si>
  <si>
    <t>child_hdache</t>
  </si>
  <si>
    <t>child_epilepsy</t>
  </si>
  <si>
    <t>child_psych</t>
  </si>
  <si>
    <t>child_bones</t>
  </si>
  <si>
    <t>child_appdcts</t>
  </si>
  <si>
    <t>child_diab</t>
  </si>
  <si>
    <t>child_heart</t>
  </si>
  <si>
    <t>child_leuk</t>
  </si>
  <si>
    <t>child_cancer</t>
  </si>
  <si>
    <t>ever had</t>
  </si>
  <si>
    <t>cvd</t>
  </si>
  <si>
    <t>angin_wave1</t>
  </si>
  <si>
    <t>angin_wave2</t>
  </si>
  <si>
    <t>angin_wave3</t>
  </si>
  <si>
    <t>angin_wave4</t>
  </si>
  <si>
    <t>angin_wave5</t>
  </si>
  <si>
    <t>angin_wave6</t>
  </si>
  <si>
    <t>angin_wave7</t>
  </si>
  <si>
    <t>angin_wave8</t>
  </si>
  <si>
    <t>angin_wave9</t>
  </si>
  <si>
    <t>hrtatt_wave1</t>
  </si>
  <si>
    <t>hrtatt_wave2</t>
  </si>
  <si>
    <t>hrtatt_wave3</t>
  </si>
  <si>
    <t>hrtatt_wave4</t>
  </si>
  <si>
    <t>hrtatt_wave5</t>
  </si>
  <si>
    <t>hrtatt_wave6</t>
  </si>
  <si>
    <t>hrtatt_wave7</t>
  </si>
  <si>
    <t>hrtatt_wave8</t>
  </si>
  <si>
    <t>hrtatt_wave9</t>
  </si>
  <si>
    <t>psych_wave1</t>
  </si>
  <si>
    <t>psych_wave2</t>
  </si>
  <si>
    <t>psych_wave3</t>
  </si>
  <si>
    <t>psych_wave4</t>
  </si>
  <si>
    <t>psych_wave5</t>
  </si>
  <si>
    <t>psych_wave6</t>
  </si>
  <si>
    <t>psych_wave7</t>
  </si>
  <si>
    <t>psych_wave8</t>
  </si>
  <si>
    <t>psych_wave9</t>
  </si>
  <si>
    <t>fallinj_wave1</t>
  </si>
  <si>
    <t>fallinj_wave2</t>
  </si>
  <si>
    <t>fallinj_wave3</t>
  </si>
  <si>
    <t>fallinj_wave4</t>
  </si>
  <si>
    <t>fallinj_wave5</t>
  </si>
  <si>
    <t>fallinj_wave6</t>
  </si>
  <si>
    <t>fallinj_wave7</t>
  </si>
  <si>
    <t>fallinj_wave8</t>
  </si>
  <si>
    <t>fallinj_wave9</t>
  </si>
  <si>
    <t>earliest age</t>
  </si>
  <si>
    <t>repeated</t>
  </si>
  <si>
    <t>other</t>
  </si>
  <si>
    <t>hchol</t>
  </si>
  <si>
    <t>dem_alzheimer</t>
  </si>
  <si>
    <t>bones</t>
  </si>
  <si>
    <t>cholesterol</t>
  </si>
  <si>
    <t>eye</t>
  </si>
  <si>
    <t>remove!</t>
  </si>
  <si>
    <t>asthma_respir</t>
  </si>
  <si>
    <t>hysterectomy</t>
  </si>
  <si>
    <t>exclude duplicates</t>
  </si>
  <si>
    <t>take the earliest</t>
  </si>
  <si>
    <t>childhood</t>
  </si>
  <si>
    <t>psych (?)</t>
  </si>
  <si>
    <t>bones_falls</t>
  </si>
  <si>
    <t>1. National NHS Secure Data Environment (SDE, N = ~57 million (whole population of England)</t>
  </si>
  <si>
    <t>2. Our Future Health (N &gt; 1 million)</t>
  </si>
  <si>
    <t>3. UK Biobank (N = 500,000)</t>
  </si>
  <si>
    <t>4. GLAD (Genetic Links to Anxiety and Depression, N = ~20,000)</t>
  </si>
  <si>
    <t>5. Covid Collab (N = ~20,000)</t>
  </si>
  <si>
    <t>6. RADAR-CNS (N = 300-600)</t>
  </si>
  <si>
    <t>All of Us - ~500k EHR, ~50k wearable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</si>
</sst>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DBF3-C8F9-4758-B214-A828DAF46538}">
  <dimension ref="A3:AA89"/>
  <sheetViews>
    <sheetView tabSelected="1" zoomScaleNormal="100" workbookViewId="0">
      <selection activeCell="A16" sqref="A16"/>
    </sheetView>
  </sheetViews>
  <sheetFormatPr defaultRowHeight="15" x14ac:dyDescent="0.25"/>
  <cols>
    <col min="2" max="2" width="7.5703125" customWidth="1"/>
    <col min="3" max="3" width="13.7109375" style="5" customWidth="1"/>
    <col min="4" max="4" width="14.5703125" bestFit="1" customWidth="1"/>
    <col min="5" max="5" width="15.42578125" style="5" customWidth="1"/>
    <col min="6" max="6" width="13.85546875" bestFit="1" customWidth="1"/>
    <col min="7" max="7" width="13.7109375" style="5" bestFit="1" customWidth="1"/>
    <col min="8" max="8" width="13.7109375" customWidth="1"/>
    <col min="9" max="9" width="12.28515625" style="5" bestFit="1" customWidth="1"/>
    <col min="10" max="10" width="12.28515625" customWidth="1"/>
    <col min="11" max="11" width="12" style="5" bestFit="1" customWidth="1"/>
    <col min="12" max="12" width="12" customWidth="1"/>
    <col min="13" max="13" width="12.42578125" style="5" bestFit="1" customWidth="1"/>
    <col min="14" max="14" width="12.42578125" customWidth="1"/>
    <col min="15" max="15" width="12.42578125" style="5" bestFit="1" customWidth="1"/>
    <col min="16" max="16" width="12.42578125" customWidth="1"/>
    <col min="19" max="19" width="18.28515625" style="12" bestFit="1" customWidth="1"/>
    <col min="20" max="20" width="9.140625" style="12"/>
    <col min="21" max="21" width="15.7109375" style="12" bestFit="1" customWidth="1"/>
    <col min="23" max="23" width="16.140625" customWidth="1"/>
    <col min="26" max="26" width="13.7109375" bestFit="1" customWidth="1"/>
    <col min="27" max="27" width="12.28515625" bestFit="1" customWidth="1"/>
    <col min="28" max="28" width="12" bestFit="1" customWidth="1"/>
    <col min="29" max="30" width="12.42578125" bestFit="1" customWidth="1"/>
  </cols>
  <sheetData>
    <row r="3" spans="1:27" s="4" customFormat="1" x14ac:dyDescent="0.25">
      <c r="A3" s="3" t="s">
        <v>100</v>
      </c>
      <c r="C3" s="6" t="s">
        <v>98</v>
      </c>
      <c r="D3" s="3"/>
      <c r="E3" s="6" t="s">
        <v>60</v>
      </c>
      <c r="G3" s="6" t="s">
        <v>111</v>
      </c>
      <c r="H3" s="3"/>
      <c r="I3" s="6" t="s">
        <v>99</v>
      </c>
      <c r="J3" s="3"/>
      <c r="K3" s="6" t="s">
        <v>99</v>
      </c>
      <c r="L3" s="3"/>
      <c r="M3" s="6" t="s">
        <v>99</v>
      </c>
      <c r="N3" s="3"/>
      <c r="O3" s="6" t="s">
        <v>99</v>
      </c>
      <c r="P3" s="3"/>
      <c r="S3" s="19"/>
      <c r="T3" s="19"/>
      <c r="U3" s="19"/>
    </row>
    <row r="4" spans="1:27" x14ac:dyDescent="0.25">
      <c r="A4" t="s">
        <v>0</v>
      </c>
      <c r="C4" s="5" t="s">
        <v>16</v>
      </c>
      <c r="D4" t="s">
        <v>61</v>
      </c>
      <c r="E4" s="5" t="s">
        <v>30</v>
      </c>
      <c r="F4" t="s">
        <v>107</v>
      </c>
      <c r="G4" s="5" t="s">
        <v>47</v>
      </c>
      <c r="I4" s="5" t="s">
        <v>62</v>
      </c>
      <c r="J4" t="s">
        <v>61</v>
      </c>
      <c r="K4" s="5" t="s">
        <v>71</v>
      </c>
      <c r="L4" t="s">
        <v>61</v>
      </c>
      <c r="M4" s="5" t="s">
        <v>80</v>
      </c>
      <c r="N4" t="s">
        <v>24</v>
      </c>
      <c r="O4" s="5" t="s">
        <v>89</v>
      </c>
      <c r="P4" t="s">
        <v>103</v>
      </c>
    </row>
    <row r="5" spans="1:27" x14ac:dyDescent="0.25">
      <c r="A5" t="s">
        <v>1</v>
      </c>
      <c r="C5" s="5" t="s">
        <v>17</v>
      </c>
      <c r="D5" t="s">
        <v>61</v>
      </c>
      <c r="E5" s="5" t="s">
        <v>31</v>
      </c>
      <c r="F5" t="s">
        <v>103</v>
      </c>
      <c r="G5" s="5" t="s">
        <v>48</v>
      </c>
      <c r="H5" t="s">
        <v>107</v>
      </c>
      <c r="I5" s="5" t="s">
        <v>63</v>
      </c>
      <c r="J5" t="s">
        <v>61</v>
      </c>
      <c r="K5" s="5" t="s">
        <v>72</v>
      </c>
      <c r="L5" t="s">
        <v>61</v>
      </c>
      <c r="M5" s="5" t="s">
        <v>81</v>
      </c>
      <c r="N5" t="s">
        <v>24</v>
      </c>
      <c r="O5" s="5" t="s">
        <v>90</v>
      </c>
      <c r="P5" t="s">
        <v>103</v>
      </c>
      <c r="V5" s="1"/>
    </row>
    <row r="6" spans="1:27" x14ac:dyDescent="0.25">
      <c r="A6" t="s">
        <v>2</v>
      </c>
      <c r="C6" s="5" t="s">
        <v>18</v>
      </c>
      <c r="D6" t="s">
        <v>61</v>
      </c>
      <c r="E6" s="5" t="s">
        <v>32</v>
      </c>
      <c r="F6" t="s">
        <v>19</v>
      </c>
      <c r="G6" s="5" t="s">
        <v>49</v>
      </c>
      <c r="H6" t="s">
        <v>107</v>
      </c>
      <c r="I6" s="5" t="s">
        <v>64</v>
      </c>
      <c r="J6" t="s">
        <v>61</v>
      </c>
      <c r="K6" s="5" t="s">
        <v>73</v>
      </c>
      <c r="L6" t="s">
        <v>61</v>
      </c>
      <c r="M6" s="5" t="s">
        <v>82</v>
      </c>
      <c r="N6" t="s">
        <v>24</v>
      </c>
      <c r="O6" s="5" t="s">
        <v>91</v>
      </c>
      <c r="P6" t="s">
        <v>103</v>
      </c>
    </row>
    <row r="7" spans="1:27" x14ac:dyDescent="0.25">
      <c r="A7" t="s">
        <v>3</v>
      </c>
      <c r="C7" s="5" t="s">
        <v>19</v>
      </c>
      <c r="D7" t="s">
        <v>19</v>
      </c>
      <c r="E7" s="5" t="s">
        <v>33</v>
      </c>
      <c r="F7" t="s">
        <v>22</v>
      </c>
      <c r="G7" s="5" t="s">
        <v>50</v>
      </c>
      <c r="H7" s="2" t="s">
        <v>106</v>
      </c>
      <c r="I7" s="5" t="s">
        <v>65</v>
      </c>
      <c r="J7" t="s">
        <v>61</v>
      </c>
      <c r="K7" s="5" t="s">
        <v>74</v>
      </c>
      <c r="L7" t="s">
        <v>61</v>
      </c>
      <c r="M7" s="5" t="s">
        <v>83</v>
      </c>
      <c r="N7" t="s">
        <v>24</v>
      </c>
      <c r="O7" s="5" t="s">
        <v>92</v>
      </c>
      <c r="P7" t="s">
        <v>103</v>
      </c>
      <c r="R7" s="10">
        <v>1</v>
      </c>
      <c r="S7" s="10" t="s">
        <v>109</v>
      </c>
      <c r="T7" s="9"/>
      <c r="U7" s="10" t="s">
        <v>110</v>
      </c>
      <c r="V7" s="14"/>
      <c r="W7" s="14"/>
      <c r="X7" s="15"/>
      <c r="Y7" s="16"/>
      <c r="Z7" s="15"/>
    </row>
    <row r="8" spans="1:27" x14ac:dyDescent="0.25">
      <c r="A8" t="s">
        <v>4</v>
      </c>
      <c r="C8" s="5" t="s">
        <v>20</v>
      </c>
      <c r="D8" t="s">
        <v>61</v>
      </c>
      <c r="E8" s="7" t="s">
        <v>34</v>
      </c>
      <c r="F8" s="2" t="s">
        <v>106</v>
      </c>
      <c r="G8" s="5" t="s">
        <v>51</v>
      </c>
      <c r="H8" s="2" t="s">
        <v>106</v>
      </c>
      <c r="I8" s="5" t="s">
        <v>66</v>
      </c>
      <c r="J8" t="s">
        <v>61</v>
      </c>
      <c r="K8" s="5" t="s">
        <v>75</v>
      </c>
      <c r="L8" t="s">
        <v>61</v>
      </c>
      <c r="M8" s="5" t="s">
        <v>84</v>
      </c>
      <c r="N8" t="s">
        <v>24</v>
      </c>
      <c r="O8" s="5" t="s">
        <v>93</v>
      </c>
      <c r="P8" t="s">
        <v>103</v>
      </c>
      <c r="R8" s="10">
        <v>2</v>
      </c>
      <c r="U8" s="9" t="s">
        <v>23</v>
      </c>
    </row>
    <row r="9" spans="1:27" x14ac:dyDescent="0.25">
      <c r="A9" t="s">
        <v>5</v>
      </c>
      <c r="C9" s="5" t="s">
        <v>21</v>
      </c>
      <c r="D9" t="s">
        <v>21</v>
      </c>
      <c r="E9" s="5" t="s">
        <v>35</v>
      </c>
      <c r="F9" t="s">
        <v>61</v>
      </c>
      <c r="G9" s="5" t="s">
        <v>52</v>
      </c>
      <c r="H9" t="s">
        <v>24</v>
      </c>
      <c r="I9" s="5" t="s">
        <v>67</v>
      </c>
      <c r="J9" t="s">
        <v>61</v>
      </c>
      <c r="K9" s="5" t="s">
        <v>76</v>
      </c>
      <c r="L9" t="s">
        <v>61</v>
      </c>
      <c r="M9" s="5" t="s">
        <v>85</v>
      </c>
      <c r="N9" t="s">
        <v>24</v>
      </c>
      <c r="O9" s="5" t="s">
        <v>94</v>
      </c>
      <c r="P9" t="s">
        <v>103</v>
      </c>
      <c r="R9" s="10">
        <v>3</v>
      </c>
      <c r="S9" s="10" t="s">
        <v>99</v>
      </c>
      <c r="U9" s="9" t="s">
        <v>19</v>
      </c>
      <c r="X9" s="13"/>
      <c r="Y9" s="12"/>
      <c r="Z9" s="13"/>
      <c r="AA9" s="12"/>
    </row>
    <row r="10" spans="1:27" x14ac:dyDescent="0.25">
      <c r="A10" t="s">
        <v>6</v>
      </c>
      <c r="C10" s="5" t="s">
        <v>22</v>
      </c>
      <c r="D10" t="s">
        <v>22</v>
      </c>
      <c r="E10" s="5" t="s">
        <v>36</v>
      </c>
      <c r="F10" t="s">
        <v>21</v>
      </c>
      <c r="G10" s="5" t="s">
        <v>53</v>
      </c>
      <c r="H10" t="s">
        <v>24</v>
      </c>
      <c r="I10" s="5" t="s">
        <v>68</v>
      </c>
      <c r="J10" t="s">
        <v>61</v>
      </c>
      <c r="K10" s="5" t="s">
        <v>77</v>
      </c>
      <c r="L10" t="s">
        <v>61</v>
      </c>
      <c r="M10" s="5" t="s">
        <v>86</v>
      </c>
      <c r="N10" t="s">
        <v>24</v>
      </c>
      <c r="O10" s="5" t="s">
        <v>95</v>
      </c>
      <c r="P10" t="s">
        <v>103</v>
      </c>
      <c r="R10" s="12"/>
      <c r="S10" s="12" t="s">
        <v>113</v>
      </c>
      <c r="T10" s="13"/>
      <c r="U10" s="9" t="s">
        <v>102</v>
      </c>
      <c r="W10" s="12"/>
      <c r="X10" s="13"/>
      <c r="Y10" s="12"/>
      <c r="Z10" s="13"/>
      <c r="AA10" s="12"/>
    </row>
    <row r="11" spans="1:27" x14ac:dyDescent="0.25">
      <c r="A11" t="s">
        <v>7</v>
      </c>
      <c r="C11" s="5" t="s">
        <v>23</v>
      </c>
      <c r="D11" t="s">
        <v>23</v>
      </c>
      <c r="E11" s="5" t="s">
        <v>37</v>
      </c>
      <c r="F11" t="s">
        <v>107</v>
      </c>
      <c r="G11" s="5" t="s">
        <v>54</v>
      </c>
      <c r="H11" t="s">
        <v>103</v>
      </c>
      <c r="I11" s="5" t="s">
        <v>69</v>
      </c>
      <c r="J11" t="s">
        <v>61</v>
      </c>
      <c r="K11" s="5" t="s">
        <v>78</v>
      </c>
      <c r="L11" t="s">
        <v>61</v>
      </c>
      <c r="M11" s="5" t="s">
        <v>87</v>
      </c>
      <c r="N11" t="s">
        <v>24</v>
      </c>
      <c r="O11" s="5" t="s">
        <v>96</v>
      </c>
      <c r="P11" t="s">
        <v>103</v>
      </c>
      <c r="S11" s="9" t="s">
        <v>61</v>
      </c>
      <c r="U11" s="9" t="s">
        <v>22</v>
      </c>
    </row>
    <row r="12" spans="1:27" x14ac:dyDescent="0.25">
      <c r="A12" t="s">
        <v>8</v>
      </c>
      <c r="C12" s="5" t="s">
        <v>24</v>
      </c>
      <c r="D12" t="s">
        <v>24</v>
      </c>
      <c r="E12" s="5" t="s">
        <v>38</v>
      </c>
      <c r="F12" t="s">
        <v>105</v>
      </c>
      <c r="G12" s="5" t="s">
        <v>55</v>
      </c>
      <c r="H12" s="2" t="s">
        <v>106</v>
      </c>
      <c r="I12" s="5" t="s">
        <v>70</v>
      </c>
      <c r="J12" t="s">
        <v>61</v>
      </c>
      <c r="K12" s="5" t="s">
        <v>79</v>
      </c>
      <c r="L12" t="s">
        <v>61</v>
      </c>
      <c r="M12" s="5" t="s">
        <v>88</v>
      </c>
      <c r="N12" t="s">
        <v>24</v>
      </c>
      <c r="O12" s="5" t="s">
        <v>97</v>
      </c>
      <c r="P12" t="s">
        <v>103</v>
      </c>
      <c r="S12" s="12" t="s">
        <v>112</v>
      </c>
      <c r="U12" s="12" t="s">
        <v>105</v>
      </c>
    </row>
    <row r="13" spans="1:27" x14ac:dyDescent="0.25">
      <c r="A13" t="s">
        <v>9</v>
      </c>
      <c r="C13" s="5" t="s">
        <v>25</v>
      </c>
      <c r="D13" t="s">
        <v>25</v>
      </c>
      <c r="E13" s="5" t="s">
        <v>39</v>
      </c>
      <c r="F13" t="s">
        <v>23</v>
      </c>
      <c r="G13" s="5" t="s">
        <v>56</v>
      </c>
      <c r="H13" t="s">
        <v>19</v>
      </c>
      <c r="U13" s="12" t="s">
        <v>108</v>
      </c>
    </row>
    <row r="14" spans="1:27" x14ac:dyDescent="0.25">
      <c r="A14" t="s">
        <v>10</v>
      </c>
      <c r="C14" s="5" t="s">
        <v>26</v>
      </c>
      <c r="D14" t="s">
        <v>102</v>
      </c>
      <c r="E14" s="5" t="s">
        <v>40</v>
      </c>
      <c r="F14" t="s">
        <v>103</v>
      </c>
      <c r="G14" s="5" t="s">
        <v>57</v>
      </c>
      <c r="H14" t="s">
        <v>61</v>
      </c>
      <c r="U14" s="12" t="s">
        <v>29</v>
      </c>
    </row>
    <row r="15" spans="1:27" x14ac:dyDescent="0.25">
      <c r="A15" t="s">
        <v>11</v>
      </c>
      <c r="C15" s="5" t="s">
        <v>27</v>
      </c>
      <c r="D15" t="s">
        <v>102</v>
      </c>
      <c r="E15" s="5" t="s">
        <v>41</v>
      </c>
      <c r="F15" t="s">
        <v>61</v>
      </c>
      <c r="G15" s="5" t="s">
        <v>58</v>
      </c>
      <c r="H15" t="s">
        <v>22</v>
      </c>
      <c r="U15" s="12" t="s">
        <v>104</v>
      </c>
    </row>
    <row r="16" spans="1:27" x14ac:dyDescent="0.25">
      <c r="A16" t="s">
        <v>12</v>
      </c>
      <c r="C16" s="5" t="s">
        <v>29</v>
      </c>
      <c r="D16" t="s">
        <v>29</v>
      </c>
      <c r="E16" s="5" t="s">
        <v>42</v>
      </c>
      <c r="F16" t="s">
        <v>61</v>
      </c>
      <c r="G16" s="5" t="s">
        <v>59</v>
      </c>
      <c r="H16" t="s">
        <v>22</v>
      </c>
      <c r="U16" t="s">
        <v>21</v>
      </c>
    </row>
    <row r="17" spans="1:18" x14ac:dyDescent="0.25">
      <c r="A17" t="s">
        <v>13</v>
      </c>
      <c r="C17" s="5" t="s">
        <v>28</v>
      </c>
      <c r="D17" t="s">
        <v>28</v>
      </c>
      <c r="E17" s="5" t="s">
        <v>43</v>
      </c>
      <c r="F17" t="s">
        <v>61</v>
      </c>
    </row>
    <row r="18" spans="1:18" x14ac:dyDescent="0.25">
      <c r="A18" t="s">
        <v>14</v>
      </c>
      <c r="E18" s="5" t="s">
        <v>44</v>
      </c>
      <c r="F18" t="s">
        <v>61</v>
      </c>
    </row>
    <row r="19" spans="1:18" x14ac:dyDescent="0.25">
      <c r="A19" t="s">
        <v>15</v>
      </c>
      <c r="E19" s="5" t="s">
        <v>45</v>
      </c>
      <c r="F19" t="s">
        <v>103</v>
      </c>
    </row>
    <row r="20" spans="1:18" x14ac:dyDescent="0.25">
      <c r="E20" s="5" t="s">
        <v>46</v>
      </c>
      <c r="F20" t="s">
        <v>108</v>
      </c>
    </row>
    <row r="21" spans="1:18" x14ac:dyDescent="0.25">
      <c r="E21" s="5" t="s">
        <v>101</v>
      </c>
      <c r="F21" t="s">
        <v>104</v>
      </c>
      <c r="R21" s="17" t="s">
        <v>114</v>
      </c>
    </row>
    <row r="22" spans="1:18" x14ac:dyDescent="0.25">
      <c r="R22" s="17" t="s">
        <v>115</v>
      </c>
    </row>
    <row r="23" spans="1:18" x14ac:dyDescent="0.25">
      <c r="A23" s="12"/>
      <c r="B23" s="12"/>
      <c r="C23" s="13"/>
      <c r="D23" s="12"/>
      <c r="E23" s="13"/>
      <c r="F23" s="12"/>
      <c r="G23" s="13"/>
      <c r="H23" s="12"/>
      <c r="R23" s="17" t="s">
        <v>116</v>
      </c>
    </row>
    <row r="24" spans="1:18" x14ac:dyDescent="0.25">
      <c r="R24" s="17" t="s">
        <v>117</v>
      </c>
    </row>
    <row r="25" spans="1:18" x14ac:dyDescent="0.25">
      <c r="R25" s="17" t="s">
        <v>118</v>
      </c>
    </row>
    <row r="26" spans="1:18" x14ac:dyDescent="0.25">
      <c r="R26" s="17" t="s">
        <v>119</v>
      </c>
    </row>
    <row r="27" spans="1:18" ht="16.5" x14ac:dyDescent="0.25">
      <c r="O27" s="18"/>
      <c r="R27" s="18" t="s">
        <v>120</v>
      </c>
    </row>
    <row r="28" spans="1:18" x14ac:dyDescent="0.25">
      <c r="A28" s="9"/>
      <c r="B28" s="9"/>
      <c r="C28" s="9"/>
      <c r="D28" s="9"/>
      <c r="E28" s="9"/>
      <c r="F28" s="9"/>
      <c r="G28" s="13"/>
      <c r="H28" s="12"/>
      <c r="I28" s="13"/>
      <c r="J28" s="12"/>
      <c r="O28"/>
    </row>
    <row r="29" spans="1:18" x14ac:dyDescent="0.25">
      <c r="A29" s="9"/>
      <c r="B29" s="9"/>
      <c r="C29" s="13" t="str">
        <f>""""&amp;C4&amp;""""</f>
        <v>"angina"</v>
      </c>
      <c r="D29" s="13" t="str">
        <f t="shared" ref="D29:P29" si="0">""""&amp;D4&amp;""""</f>
        <v>"cvd"</v>
      </c>
      <c r="E29" s="13" t="str">
        <f t="shared" si="0"/>
        <v>"lung"</v>
      </c>
      <c r="F29" s="13" t="str">
        <f t="shared" si="0"/>
        <v>"asthma_respir"</v>
      </c>
      <c r="G29" s="13" t="str">
        <f t="shared" si="0"/>
        <v>"child_infect"</v>
      </c>
      <c r="H29" s="13" t="str">
        <f t="shared" si="0"/>
        <v>""</v>
      </c>
      <c r="I29" s="13" t="str">
        <f t="shared" si="0"/>
        <v>"angin_wave1"</v>
      </c>
      <c r="J29" s="13" t="str">
        <f t="shared" si="0"/>
        <v>"cvd"</v>
      </c>
      <c r="K29" s="13" t="str">
        <f t="shared" si="0"/>
        <v>"hrtatt_wave1"</v>
      </c>
      <c r="L29" s="13" t="str">
        <f t="shared" si="0"/>
        <v>"cvd"</v>
      </c>
      <c r="M29" s="13" t="str">
        <f t="shared" si="0"/>
        <v>"psych_wave1"</v>
      </c>
      <c r="N29" s="13" t="str">
        <f t="shared" si="0"/>
        <v>"psych"</v>
      </c>
      <c r="O29" s="13" t="str">
        <f t="shared" si="0"/>
        <v>"fallinj_wave1"</v>
      </c>
      <c r="P29" s="13" t="str">
        <f t="shared" si="0"/>
        <v>"bones"</v>
      </c>
    </row>
    <row r="30" spans="1:18" x14ac:dyDescent="0.25">
      <c r="A30" s="12"/>
      <c r="B30" s="12"/>
      <c r="C30" s="13" t="str">
        <f t="shared" ref="C30:P30" si="1">""""&amp;C5&amp;""""</f>
        <v>"heartattack"</v>
      </c>
      <c r="D30" s="13" t="str">
        <f t="shared" si="1"/>
        <v>"cvd"</v>
      </c>
      <c r="E30" s="13" t="str">
        <f t="shared" si="1"/>
        <v>"hibp"</v>
      </c>
      <c r="F30" s="13" t="str">
        <f t="shared" si="1"/>
        <v>"bones"</v>
      </c>
      <c r="G30" s="13" t="str">
        <f t="shared" si="1"/>
        <v>"child_asthma"</v>
      </c>
      <c r="H30" s="13" t="str">
        <f t="shared" si="1"/>
        <v>"asthma_respir"</v>
      </c>
      <c r="I30" s="13" t="str">
        <f t="shared" si="1"/>
        <v>"angin_wave2"</v>
      </c>
      <c r="J30" s="13" t="str">
        <f t="shared" si="1"/>
        <v>"cvd"</v>
      </c>
      <c r="K30" s="13" t="str">
        <f t="shared" si="1"/>
        <v>"hrtatt_wave2"</v>
      </c>
      <c r="L30" s="13" t="str">
        <f t="shared" si="1"/>
        <v>"cvd"</v>
      </c>
      <c r="M30" s="13" t="str">
        <f t="shared" si="1"/>
        <v>"psych_wave2"</v>
      </c>
      <c r="N30" s="13" t="str">
        <f t="shared" si="1"/>
        <v>"psych"</v>
      </c>
      <c r="O30" s="13" t="str">
        <f t="shared" si="1"/>
        <v>"fallinj_wave2"</v>
      </c>
      <c r="P30" s="13" t="str">
        <f t="shared" si="1"/>
        <v>"bones"</v>
      </c>
    </row>
    <row r="31" spans="1:18" x14ac:dyDescent="0.25">
      <c r="A31" s="12"/>
      <c r="B31" s="12"/>
      <c r="C31" s="13" t="str">
        <f t="shared" ref="C31:P31" si="2">""""&amp;C6&amp;""""</f>
        <v>"chf"</v>
      </c>
      <c r="D31" s="13" t="str">
        <f t="shared" si="2"/>
        <v>"cvd"</v>
      </c>
      <c r="E31" s="13" t="str">
        <f t="shared" si="2"/>
        <v>"diab"</v>
      </c>
      <c r="F31" s="13" t="str">
        <f t="shared" si="2"/>
        <v>"diabetes"</v>
      </c>
      <c r="G31" s="13" t="str">
        <f t="shared" si="2"/>
        <v>"child_resp"</v>
      </c>
      <c r="H31" s="13" t="str">
        <f t="shared" si="2"/>
        <v>"asthma_respir"</v>
      </c>
      <c r="I31" s="13" t="str">
        <f t="shared" si="2"/>
        <v>"angin_wave3"</v>
      </c>
      <c r="J31" s="13" t="str">
        <f t="shared" si="2"/>
        <v>"cvd"</v>
      </c>
      <c r="K31" s="13" t="str">
        <f t="shared" si="2"/>
        <v>"hrtatt_wave3"</v>
      </c>
      <c r="L31" s="13" t="str">
        <f t="shared" si="2"/>
        <v>"cvd"</v>
      </c>
      <c r="M31" s="13" t="str">
        <f t="shared" si="2"/>
        <v>"psych_wave3"</v>
      </c>
      <c r="N31" s="13" t="str">
        <f t="shared" si="2"/>
        <v>"psych"</v>
      </c>
      <c r="O31" s="13" t="str">
        <f t="shared" si="2"/>
        <v>"fallinj_wave3"</v>
      </c>
      <c r="P31" s="13" t="str">
        <f t="shared" si="2"/>
        <v>"bones"</v>
      </c>
    </row>
    <row r="32" spans="1:18" x14ac:dyDescent="0.25">
      <c r="C32" s="13" t="str">
        <f t="shared" ref="C32:P32" si="3">""""&amp;C7&amp;""""</f>
        <v>"diabetes"</v>
      </c>
      <c r="D32" s="13" t="str">
        <f t="shared" si="3"/>
        <v>"diabetes"</v>
      </c>
      <c r="E32" s="13" t="str">
        <f t="shared" si="3"/>
        <v>"cancr"</v>
      </c>
      <c r="F32" s="13" t="str">
        <f t="shared" si="3"/>
        <v>"cancer"</v>
      </c>
      <c r="G32" s="13" t="str">
        <f t="shared" si="3"/>
        <v>"child_allerg"</v>
      </c>
      <c r="H32" s="13" t="str">
        <f t="shared" si="3"/>
        <v>"remove!"</v>
      </c>
      <c r="I32" s="13" t="str">
        <f t="shared" si="3"/>
        <v>"angin_wave4"</v>
      </c>
      <c r="J32" s="13" t="str">
        <f t="shared" si="3"/>
        <v>"cvd"</v>
      </c>
      <c r="K32" s="13" t="str">
        <f t="shared" si="3"/>
        <v>"hrtatt_wave4"</v>
      </c>
      <c r="L32" s="13" t="str">
        <f t="shared" si="3"/>
        <v>"cvd"</v>
      </c>
      <c r="M32" s="13" t="str">
        <f t="shared" si="3"/>
        <v>"psych_wave4"</v>
      </c>
      <c r="N32" s="13" t="str">
        <f t="shared" si="3"/>
        <v>"psych"</v>
      </c>
      <c r="O32" s="13" t="str">
        <f t="shared" si="3"/>
        <v>"fallinj_wave4"</v>
      </c>
      <c r="P32" s="13" t="str">
        <f t="shared" si="3"/>
        <v>"bones"</v>
      </c>
    </row>
    <row r="33" spans="1:16" x14ac:dyDescent="0.25">
      <c r="A33" s="11"/>
      <c r="B33" s="11"/>
      <c r="C33" s="13" t="str">
        <f t="shared" ref="C33:P33" si="4">""""&amp;C8&amp;""""</f>
        <v>"stroke"</v>
      </c>
      <c r="D33" s="13" t="str">
        <f t="shared" si="4"/>
        <v>"cvd"</v>
      </c>
      <c r="E33" s="13" t="str">
        <f t="shared" si="4"/>
        <v>"heart"</v>
      </c>
      <c r="F33" s="13" t="str">
        <f t="shared" si="4"/>
        <v>"remove!"</v>
      </c>
      <c r="G33" s="13" t="str">
        <f t="shared" si="4"/>
        <v>"child_hdache"</v>
      </c>
      <c r="H33" s="13" t="str">
        <f t="shared" si="4"/>
        <v>"remove!"</v>
      </c>
      <c r="I33" s="13" t="str">
        <f t="shared" si="4"/>
        <v>"angin_wave5"</v>
      </c>
      <c r="J33" s="13" t="str">
        <f t="shared" si="4"/>
        <v>"cvd"</v>
      </c>
      <c r="K33" s="13" t="str">
        <f t="shared" si="4"/>
        <v>"hrtatt_wave5"</v>
      </c>
      <c r="L33" s="13" t="str">
        <f t="shared" si="4"/>
        <v>"cvd"</v>
      </c>
      <c r="M33" s="13" t="str">
        <f t="shared" si="4"/>
        <v>"psych_wave5"</v>
      </c>
      <c r="N33" s="13" t="str">
        <f t="shared" si="4"/>
        <v>"psych"</v>
      </c>
      <c r="O33" s="13" t="str">
        <f t="shared" si="4"/>
        <v>"fallinj_wave5"</v>
      </c>
      <c r="P33" s="13" t="str">
        <f t="shared" si="4"/>
        <v>"bones"</v>
      </c>
    </row>
    <row r="34" spans="1:16" x14ac:dyDescent="0.25">
      <c r="A34" s="11"/>
      <c r="B34" s="11"/>
      <c r="C34" s="13" t="str">
        <f t="shared" ref="C34:P34" si="5">""""&amp;C9&amp;""""</f>
        <v>"arthritis"</v>
      </c>
      <c r="D34" s="13" t="str">
        <f t="shared" si="5"/>
        <v>"arthritis"</v>
      </c>
      <c r="E34" s="13" t="str">
        <f t="shared" si="5"/>
        <v>"strok"</v>
      </c>
      <c r="F34" s="13" t="str">
        <f t="shared" si="5"/>
        <v>"cvd"</v>
      </c>
      <c r="G34" s="13" t="str">
        <f t="shared" si="5"/>
        <v>"child_epilepsy"</v>
      </c>
      <c r="H34" s="13" t="str">
        <f t="shared" si="5"/>
        <v>"psych"</v>
      </c>
      <c r="I34" s="13" t="str">
        <f t="shared" si="5"/>
        <v>"angin_wave6"</v>
      </c>
      <c r="J34" s="13" t="str">
        <f t="shared" si="5"/>
        <v>"cvd"</v>
      </c>
      <c r="K34" s="13" t="str">
        <f t="shared" si="5"/>
        <v>"hrtatt_wave6"</v>
      </c>
      <c r="L34" s="13" t="str">
        <f t="shared" si="5"/>
        <v>"cvd"</v>
      </c>
      <c r="M34" s="13" t="str">
        <f t="shared" si="5"/>
        <v>"psych_wave6"</v>
      </c>
      <c r="N34" s="13" t="str">
        <f t="shared" si="5"/>
        <v>"psych"</v>
      </c>
      <c r="O34" s="13" t="str">
        <f t="shared" si="5"/>
        <v>"fallinj_wave6"</v>
      </c>
      <c r="P34" s="13" t="str">
        <f t="shared" si="5"/>
        <v>"bones"</v>
      </c>
    </row>
    <row r="35" spans="1:16" x14ac:dyDescent="0.25">
      <c r="A35" s="8"/>
      <c r="B35" s="8"/>
      <c r="C35" s="13" t="str">
        <f t="shared" ref="C35:P35" si="6">""""&amp;C10&amp;""""</f>
        <v>"cancer"</v>
      </c>
      <c r="D35" s="13" t="str">
        <f t="shared" si="6"/>
        <v>"cancer"</v>
      </c>
      <c r="E35" s="13" t="str">
        <f t="shared" si="6"/>
        <v>"arthr"</v>
      </c>
      <c r="F35" s="13" t="str">
        <f t="shared" si="6"/>
        <v>"arthritis"</v>
      </c>
      <c r="G35" s="13" t="str">
        <f t="shared" si="6"/>
        <v>"child_psych"</v>
      </c>
      <c r="H35" s="13" t="str">
        <f t="shared" si="6"/>
        <v>"psych"</v>
      </c>
      <c r="I35" s="13" t="str">
        <f t="shared" si="6"/>
        <v>"angin_wave7"</v>
      </c>
      <c r="J35" s="13" t="str">
        <f t="shared" si="6"/>
        <v>"cvd"</v>
      </c>
      <c r="K35" s="13" t="str">
        <f t="shared" si="6"/>
        <v>"hrtatt_wave7"</v>
      </c>
      <c r="L35" s="13" t="str">
        <f t="shared" si="6"/>
        <v>"cvd"</v>
      </c>
      <c r="M35" s="13" t="str">
        <f t="shared" si="6"/>
        <v>"psych_wave7"</v>
      </c>
      <c r="N35" s="13" t="str">
        <f t="shared" si="6"/>
        <v>"psych"</v>
      </c>
      <c r="O35" s="13" t="str">
        <f t="shared" si="6"/>
        <v>"fallinj_wave7"</v>
      </c>
      <c r="P35" s="13" t="str">
        <f t="shared" si="6"/>
        <v>"bones"</v>
      </c>
    </row>
    <row r="36" spans="1:16" x14ac:dyDescent="0.25">
      <c r="C36" s="13" t="str">
        <f t="shared" ref="C36:P36" si="7">""""&amp;C11&amp;""""</f>
        <v>"parkinson"</v>
      </c>
      <c r="D36" s="13" t="str">
        <f t="shared" si="7"/>
        <v>"parkinson"</v>
      </c>
      <c r="E36" s="13" t="str">
        <f t="shared" si="7"/>
        <v>"asthma"</v>
      </c>
      <c r="F36" s="13" t="str">
        <f t="shared" si="7"/>
        <v>"asthma_respir"</v>
      </c>
      <c r="G36" s="13" t="str">
        <f t="shared" si="7"/>
        <v>"child_bones"</v>
      </c>
      <c r="H36" s="13" t="str">
        <f t="shared" si="7"/>
        <v>"bones"</v>
      </c>
      <c r="I36" s="13" t="str">
        <f t="shared" si="7"/>
        <v>"angin_wave8"</v>
      </c>
      <c r="J36" s="13" t="str">
        <f t="shared" si="7"/>
        <v>"cvd"</v>
      </c>
      <c r="K36" s="13" t="str">
        <f t="shared" si="7"/>
        <v>"hrtatt_wave8"</v>
      </c>
      <c r="L36" s="13" t="str">
        <f t="shared" si="7"/>
        <v>"cvd"</v>
      </c>
      <c r="M36" s="13" t="str">
        <f t="shared" si="7"/>
        <v>"psych_wave8"</v>
      </c>
      <c r="N36" s="13" t="str">
        <f t="shared" si="7"/>
        <v>"psych"</v>
      </c>
      <c r="O36" s="13" t="str">
        <f t="shared" si="7"/>
        <v>"fallinj_wave8"</v>
      </c>
      <c r="P36" s="13" t="str">
        <f t="shared" si="7"/>
        <v>"bones"</v>
      </c>
    </row>
    <row r="37" spans="1:16" x14ac:dyDescent="0.25">
      <c r="C37" s="13" t="str">
        <f t="shared" ref="C37:P37" si="8">""""&amp;C12&amp;""""</f>
        <v>"psych"</v>
      </c>
      <c r="D37" s="13" t="str">
        <f t="shared" si="8"/>
        <v>"psych"</v>
      </c>
      <c r="E37" s="13" t="str">
        <f t="shared" si="8"/>
        <v>"catract"</v>
      </c>
      <c r="F37" s="13" t="str">
        <f t="shared" si="8"/>
        <v>"eye"</v>
      </c>
      <c r="G37" s="13" t="str">
        <f t="shared" si="8"/>
        <v>"child_appdcts"</v>
      </c>
      <c r="H37" s="13" t="str">
        <f t="shared" si="8"/>
        <v>"remove!"</v>
      </c>
      <c r="I37" s="13" t="str">
        <f t="shared" si="8"/>
        <v>"angin_wave9"</v>
      </c>
      <c r="J37" s="13" t="str">
        <f t="shared" si="8"/>
        <v>"cvd"</v>
      </c>
      <c r="K37" s="13" t="str">
        <f t="shared" si="8"/>
        <v>"hrtatt_wave9"</v>
      </c>
      <c r="L37" s="13" t="str">
        <f t="shared" si="8"/>
        <v>"cvd"</v>
      </c>
      <c r="M37" s="13" t="str">
        <f t="shared" si="8"/>
        <v>"psych_wave9"</v>
      </c>
      <c r="N37" s="13" t="str">
        <f t="shared" si="8"/>
        <v>"psych"</v>
      </c>
      <c r="O37" s="13" t="str">
        <f t="shared" si="8"/>
        <v>"fallinj_wave9"</v>
      </c>
      <c r="P37" s="13" t="str">
        <f t="shared" si="8"/>
        <v>"bones"</v>
      </c>
    </row>
    <row r="38" spans="1:16" x14ac:dyDescent="0.25">
      <c r="C38" s="13" t="str">
        <f t="shared" ref="C38:P38" si="9">""""&amp;C13&amp;""""</f>
        <v>"last_period"</v>
      </c>
      <c r="D38" s="13" t="str">
        <f t="shared" si="9"/>
        <v>"last_period"</v>
      </c>
      <c r="E38" s="13" t="str">
        <f t="shared" si="9"/>
        <v>"parkin"</v>
      </c>
      <c r="F38" s="13" t="str">
        <f t="shared" si="9"/>
        <v>"parkinson"</v>
      </c>
      <c r="G38" s="13" t="str">
        <f t="shared" si="9"/>
        <v>"child_diab"</v>
      </c>
      <c r="H38" s="13" t="str">
        <f t="shared" si="9"/>
        <v>"diabetes"</v>
      </c>
      <c r="I38" s="13"/>
      <c r="J38" s="13"/>
      <c r="K38" s="13"/>
      <c r="L38" s="13"/>
      <c r="M38" s="13"/>
      <c r="N38" s="13"/>
      <c r="O38" s="13"/>
      <c r="P38" s="13"/>
    </row>
    <row r="39" spans="1:16" x14ac:dyDescent="0.25">
      <c r="C39" s="13" t="str">
        <f t="shared" ref="C39:P39" si="10">""""&amp;C14&amp;""""</f>
        <v>"alzheimer"</v>
      </c>
      <c r="D39" s="13" t="str">
        <f t="shared" si="10"/>
        <v>"dem_alzheimer"</v>
      </c>
      <c r="E39" s="13" t="str">
        <f t="shared" si="10"/>
        <v>"hip"</v>
      </c>
      <c r="F39" s="13" t="str">
        <f t="shared" si="10"/>
        <v>"bones"</v>
      </c>
      <c r="G39" s="13" t="str">
        <f t="shared" si="10"/>
        <v>"child_heart"</v>
      </c>
      <c r="H39" s="13" t="str">
        <f t="shared" si="10"/>
        <v>"cvd"</v>
      </c>
      <c r="I39" s="13"/>
      <c r="J39" s="13"/>
      <c r="K39" s="13"/>
      <c r="L39" s="13"/>
      <c r="M39" s="13"/>
      <c r="N39" s="13"/>
      <c r="O39" s="13"/>
      <c r="P39" s="13"/>
    </row>
    <row r="40" spans="1:16" x14ac:dyDescent="0.25">
      <c r="C40" s="13" t="str">
        <f t="shared" ref="C40:P40" si="11">""""&amp;C15&amp;""""</f>
        <v>"dementia"</v>
      </c>
      <c r="D40" s="13" t="str">
        <f t="shared" si="11"/>
        <v>"dem_alzheimer"</v>
      </c>
      <c r="E40" s="13" t="str">
        <f t="shared" si="11"/>
        <v>"angin"</v>
      </c>
      <c r="F40" s="13" t="str">
        <f t="shared" si="11"/>
        <v>"cvd"</v>
      </c>
      <c r="G40" s="13" t="str">
        <f t="shared" si="11"/>
        <v>"child_leuk"</v>
      </c>
      <c r="H40" s="13" t="str">
        <f t="shared" si="11"/>
        <v>"cancer"</v>
      </c>
      <c r="I40" s="13"/>
      <c r="J40" s="13"/>
      <c r="K40" s="13"/>
      <c r="L40" s="13"/>
      <c r="M40" s="13"/>
      <c r="N40" s="13"/>
      <c r="O40" s="13"/>
      <c r="P40" s="13"/>
    </row>
    <row r="41" spans="1:16" x14ac:dyDescent="0.25">
      <c r="C41" s="13" t="str">
        <f t="shared" ref="C41:P41" si="12">""""&amp;C16&amp;""""</f>
        <v>"depression"</v>
      </c>
      <c r="D41" s="13" t="str">
        <f t="shared" si="12"/>
        <v>"depression"</v>
      </c>
      <c r="E41" s="13" t="str">
        <f t="shared" si="12"/>
        <v>"hrtatt"</v>
      </c>
      <c r="F41" s="13" t="str">
        <f t="shared" si="12"/>
        <v>"cvd"</v>
      </c>
      <c r="G41" s="13" t="str">
        <f t="shared" si="12"/>
        <v>"child_cancer"</v>
      </c>
      <c r="H41" s="13" t="str">
        <f t="shared" si="12"/>
        <v>"cancer"</v>
      </c>
      <c r="I41" s="13"/>
      <c r="J41" s="13"/>
      <c r="K41" s="13"/>
      <c r="L41" s="13"/>
      <c r="M41" s="13"/>
      <c r="N41" s="13"/>
      <c r="O41" s="13"/>
      <c r="P41" s="13"/>
    </row>
    <row r="42" spans="1:16" x14ac:dyDescent="0.25">
      <c r="C42" s="13" t="str">
        <f t="shared" ref="C42:P42" si="13">""""&amp;C17&amp;""""</f>
        <v>"died"</v>
      </c>
      <c r="D42" s="13" t="str">
        <f t="shared" si="13"/>
        <v>"died"</v>
      </c>
      <c r="E42" s="13" t="str">
        <f t="shared" si="13"/>
        <v>"hrtrhm"</v>
      </c>
      <c r="F42" s="13" t="str">
        <f t="shared" si="13"/>
        <v>"cvd"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x14ac:dyDescent="0.25">
      <c r="C43" s="13"/>
      <c r="D43" s="13"/>
      <c r="E43" s="13" t="str">
        <f t="shared" ref="C43:P43" si="14">""""&amp;E18&amp;""""</f>
        <v>"hrtmr"</v>
      </c>
      <c r="F43" s="13" t="str">
        <f t="shared" si="14"/>
        <v>"cvd"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x14ac:dyDescent="0.25">
      <c r="C44" s="13"/>
      <c r="D44" s="13"/>
      <c r="E44" s="13" t="str">
        <f t="shared" ref="C44:P44" si="15">""""&amp;E19&amp;""""</f>
        <v>"osteo"</v>
      </c>
      <c r="F44" s="13" t="str">
        <f t="shared" si="15"/>
        <v>"bones"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x14ac:dyDescent="0.25">
      <c r="C45" s="13"/>
      <c r="D45" s="13"/>
      <c r="E45" s="13" t="str">
        <f t="shared" ref="C45:P45" si="16">""""&amp;E20&amp;""""</f>
        <v>"hyster"</v>
      </c>
      <c r="F45" s="13" t="str">
        <f t="shared" si="16"/>
        <v>"hysterectomy"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x14ac:dyDescent="0.25">
      <c r="C46" s="13"/>
      <c r="D46" s="13"/>
      <c r="E46" s="13" t="str">
        <f t="shared" ref="C46:P46" si="17">""""&amp;E21&amp;""""</f>
        <v>"hchol"</v>
      </c>
      <c r="F46" s="13" t="str">
        <f t="shared" si="17"/>
        <v>"cholesterol"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51" spans="3:15" x14ac:dyDescent="0.25">
      <c r="C51" s="5" t="str">
        <f>C29&amp;" : "&amp;D29</f>
        <v>"angina" : "cvd"</v>
      </c>
      <c r="D51" s="5"/>
      <c r="E51" s="5" t="str">
        <f t="shared" ref="D51:O51" si="18">E29&amp;" : "&amp;F29</f>
        <v>"lung" : "asthma_respir"</v>
      </c>
      <c r="F51" s="5"/>
      <c r="G51" s="5" t="str">
        <f t="shared" si="18"/>
        <v>"child_infect" : ""</v>
      </c>
      <c r="H51" s="5"/>
      <c r="I51" s="5" t="str">
        <f t="shared" si="18"/>
        <v>"angin_wave1" : "cvd"</v>
      </c>
      <c r="J51" s="5"/>
      <c r="K51" s="5" t="str">
        <f t="shared" si="18"/>
        <v>"hrtatt_wave1" : "cvd"</v>
      </c>
      <c r="L51" s="5"/>
      <c r="M51" s="5" t="str">
        <f t="shared" si="18"/>
        <v>"psych_wave1" : "psych"</v>
      </c>
      <c r="N51" s="5"/>
      <c r="O51" s="5" t="str">
        <f t="shared" si="18"/>
        <v>"fallinj_wave1" : "bones"</v>
      </c>
    </row>
    <row r="52" spans="3:15" x14ac:dyDescent="0.25">
      <c r="C52" s="5" t="str">
        <f t="shared" ref="C52:O70" si="19">C30&amp;" : "&amp;D30</f>
        <v>"heartattack" : "cvd"</v>
      </c>
      <c r="D52" s="5"/>
      <c r="E52" s="5" t="str">
        <f t="shared" si="19"/>
        <v>"hibp" : "bones"</v>
      </c>
      <c r="F52" s="5"/>
      <c r="G52" s="5" t="str">
        <f t="shared" si="19"/>
        <v>"child_asthma" : "asthma_respir"</v>
      </c>
      <c r="H52" s="5"/>
      <c r="I52" s="5" t="str">
        <f t="shared" si="19"/>
        <v>"angin_wave2" : "cvd"</v>
      </c>
      <c r="J52" s="5"/>
      <c r="K52" s="5" t="str">
        <f t="shared" si="19"/>
        <v>"hrtatt_wave2" : "cvd"</v>
      </c>
      <c r="L52" s="5"/>
      <c r="M52" s="5" t="str">
        <f t="shared" si="19"/>
        <v>"psych_wave2" : "psych"</v>
      </c>
      <c r="N52" s="5"/>
      <c r="O52" s="5" t="str">
        <f t="shared" si="19"/>
        <v>"fallinj_wave2" : "bones"</v>
      </c>
    </row>
    <row r="53" spans="3:15" x14ac:dyDescent="0.25">
      <c r="C53" s="5" t="str">
        <f t="shared" si="19"/>
        <v>"chf" : "cvd"</v>
      </c>
      <c r="D53" s="5"/>
      <c r="E53" s="5" t="str">
        <f t="shared" si="19"/>
        <v>"diab" : "diabetes"</v>
      </c>
      <c r="F53" s="5"/>
      <c r="G53" s="5" t="str">
        <f t="shared" si="19"/>
        <v>"child_resp" : "asthma_respir"</v>
      </c>
      <c r="H53" s="5"/>
      <c r="I53" s="5" t="str">
        <f t="shared" si="19"/>
        <v>"angin_wave3" : "cvd"</v>
      </c>
      <c r="J53" s="5"/>
      <c r="K53" s="5" t="str">
        <f t="shared" si="19"/>
        <v>"hrtatt_wave3" : "cvd"</v>
      </c>
      <c r="L53" s="5"/>
      <c r="M53" s="5" t="str">
        <f t="shared" si="19"/>
        <v>"psych_wave3" : "psych"</v>
      </c>
      <c r="N53" s="5"/>
      <c r="O53" s="5" t="str">
        <f t="shared" si="19"/>
        <v>"fallinj_wave3" : "bones"</v>
      </c>
    </row>
    <row r="54" spans="3:15" x14ac:dyDescent="0.25">
      <c r="C54" s="5" t="str">
        <f t="shared" si="19"/>
        <v>"diabetes" : "diabetes"</v>
      </c>
      <c r="D54" s="5"/>
      <c r="E54" s="5" t="str">
        <f t="shared" si="19"/>
        <v>"cancr" : "cancer"</v>
      </c>
      <c r="F54" s="5"/>
      <c r="G54" s="5" t="str">
        <f t="shared" si="19"/>
        <v>"child_allerg" : "remove!"</v>
      </c>
      <c r="H54" s="5"/>
      <c r="I54" s="5" t="str">
        <f t="shared" si="19"/>
        <v>"angin_wave4" : "cvd"</v>
      </c>
      <c r="J54" s="5"/>
      <c r="K54" s="5" t="str">
        <f t="shared" si="19"/>
        <v>"hrtatt_wave4" : "cvd"</v>
      </c>
      <c r="L54" s="5"/>
      <c r="M54" s="5" t="str">
        <f t="shared" si="19"/>
        <v>"psych_wave4" : "psych"</v>
      </c>
      <c r="N54" s="5"/>
      <c r="O54" s="5" t="str">
        <f t="shared" si="19"/>
        <v>"fallinj_wave4" : "bones"</v>
      </c>
    </row>
    <row r="55" spans="3:15" x14ac:dyDescent="0.25">
      <c r="C55" s="5" t="str">
        <f t="shared" si="19"/>
        <v>"stroke" : "cvd"</v>
      </c>
      <c r="D55" s="5"/>
      <c r="E55" s="5" t="str">
        <f t="shared" si="19"/>
        <v>"heart" : "remove!"</v>
      </c>
      <c r="F55" s="5"/>
      <c r="G55" s="5" t="str">
        <f t="shared" si="19"/>
        <v>"child_hdache" : "remove!"</v>
      </c>
      <c r="H55" s="5"/>
      <c r="I55" s="5" t="str">
        <f t="shared" si="19"/>
        <v>"angin_wave5" : "cvd"</v>
      </c>
      <c r="J55" s="5"/>
      <c r="K55" s="5" t="str">
        <f t="shared" si="19"/>
        <v>"hrtatt_wave5" : "cvd"</v>
      </c>
      <c r="L55" s="5"/>
      <c r="M55" s="5" t="str">
        <f t="shared" si="19"/>
        <v>"psych_wave5" : "psych"</v>
      </c>
      <c r="N55" s="5"/>
      <c r="O55" s="5" t="str">
        <f t="shared" si="19"/>
        <v>"fallinj_wave5" : "bones"</v>
      </c>
    </row>
    <row r="56" spans="3:15" x14ac:dyDescent="0.25">
      <c r="C56" s="5" t="str">
        <f t="shared" si="19"/>
        <v>"arthritis" : "arthritis"</v>
      </c>
      <c r="D56" s="5"/>
      <c r="E56" s="5" t="str">
        <f t="shared" si="19"/>
        <v>"strok" : "cvd"</v>
      </c>
      <c r="F56" s="5"/>
      <c r="G56" s="5" t="str">
        <f t="shared" si="19"/>
        <v>"child_epilepsy" : "psych"</v>
      </c>
      <c r="H56" s="5"/>
      <c r="I56" s="5" t="str">
        <f t="shared" si="19"/>
        <v>"angin_wave6" : "cvd"</v>
      </c>
      <c r="J56" s="5"/>
      <c r="K56" s="5" t="str">
        <f t="shared" si="19"/>
        <v>"hrtatt_wave6" : "cvd"</v>
      </c>
      <c r="L56" s="5"/>
      <c r="M56" s="5" t="str">
        <f t="shared" si="19"/>
        <v>"psych_wave6" : "psych"</v>
      </c>
      <c r="N56" s="5"/>
      <c r="O56" s="5" t="str">
        <f t="shared" si="19"/>
        <v>"fallinj_wave6" : "bones"</v>
      </c>
    </row>
    <row r="57" spans="3:15" x14ac:dyDescent="0.25">
      <c r="C57" s="5" t="str">
        <f t="shared" si="19"/>
        <v>"cancer" : "cancer"</v>
      </c>
      <c r="D57" s="5"/>
      <c r="E57" s="5" t="str">
        <f t="shared" si="19"/>
        <v>"arthr" : "arthritis"</v>
      </c>
      <c r="F57" s="5"/>
      <c r="G57" s="5" t="str">
        <f t="shared" si="19"/>
        <v>"child_psych" : "psych"</v>
      </c>
      <c r="H57" s="5"/>
      <c r="I57" s="5" t="str">
        <f t="shared" si="19"/>
        <v>"angin_wave7" : "cvd"</v>
      </c>
      <c r="J57" s="5"/>
      <c r="K57" s="5" t="str">
        <f t="shared" si="19"/>
        <v>"hrtatt_wave7" : "cvd"</v>
      </c>
      <c r="L57" s="5"/>
      <c r="M57" s="5" t="str">
        <f t="shared" si="19"/>
        <v>"psych_wave7" : "psych"</v>
      </c>
      <c r="N57" s="5"/>
      <c r="O57" s="5" t="str">
        <f t="shared" si="19"/>
        <v>"fallinj_wave7" : "bones"</v>
      </c>
    </row>
    <row r="58" spans="3:15" x14ac:dyDescent="0.25">
      <c r="C58" s="5" t="str">
        <f t="shared" si="19"/>
        <v>"parkinson" : "parkinson"</v>
      </c>
      <c r="D58" s="5"/>
      <c r="E58" s="5" t="str">
        <f t="shared" si="19"/>
        <v>"asthma" : "asthma_respir"</v>
      </c>
      <c r="F58" s="5"/>
      <c r="G58" s="5" t="str">
        <f t="shared" si="19"/>
        <v>"child_bones" : "bones"</v>
      </c>
      <c r="H58" s="5"/>
      <c r="I58" s="5" t="str">
        <f t="shared" si="19"/>
        <v>"angin_wave8" : "cvd"</v>
      </c>
      <c r="J58" s="5"/>
      <c r="K58" s="5" t="str">
        <f t="shared" si="19"/>
        <v>"hrtatt_wave8" : "cvd"</v>
      </c>
      <c r="L58" s="5"/>
      <c r="M58" s="5" t="str">
        <f t="shared" si="19"/>
        <v>"psych_wave8" : "psych"</v>
      </c>
      <c r="N58" s="5"/>
      <c r="O58" s="5" t="str">
        <f t="shared" si="19"/>
        <v>"fallinj_wave8" : "bones"</v>
      </c>
    </row>
    <row r="59" spans="3:15" x14ac:dyDescent="0.25">
      <c r="C59" s="5" t="str">
        <f t="shared" si="19"/>
        <v>"psych" : "psych"</v>
      </c>
      <c r="D59" s="5"/>
      <c r="E59" s="5" t="str">
        <f t="shared" si="19"/>
        <v>"catract" : "eye"</v>
      </c>
      <c r="F59" s="5"/>
      <c r="G59" s="5" t="str">
        <f t="shared" si="19"/>
        <v>"child_appdcts" : "remove!"</v>
      </c>
      <c r="H59" s="5"/>
      <c r="I59" s="5" t="str">
        <f t="shared" si="19"/>
        <v>"angin_wave9" : "cvd"</v>
      </c>
      <c r="J59" s="5"/>
      <c r="K59" s="5" t="str">
        <f t="shared" si="19"/>
        <v>"hrtatt_wave9" : "cvd"</v>
      </c>
      <c r="L59" s="5"/>
      <c r="M59" s="5" t="str">
        <f t="shared" si="19"/>
        <v>"psych_wave9" : "psych"</v>
      </c>
      <c r="N59" s="5"/>
      <c r="O59" s="5" t="str">
        <f t="shared" si="19"/>
        <v>"fallinj_wave9" : "bones"</v>
      </c>
    </row>
    <row r="60" spans="3:15" x14ac:dyDescent="0.25">
      <c r="C60" s="5" t="str">
        <f t="shared" si="19"/>
        <v>"last_period" : "last_period"</v>
      </c>
      <c r="D60" s="5"/>
      <c r="E60" s="5" t="str">
        <f t="shared" si="19"/>
        <v>"parkin" : "parkinson"</v>
      </c>
      <c r="F60" s="5"/>
      <c r="G60" s="5" t="str">
        <f t="shared" si="19"/>
        <v>"child_diab" : "diabetes"</v>
      </c>
      <c r="H60" s="5"/>
      <c r="J60" s="5"/>
      <c r="L60" s="5"/>
      <c r="N60" s="5"/>
    </row>
    <row r="61" spans="3:15" x14ac:dyDescent="0.25">
      <c r="C61" s="5" t="str">
        <f t="shared" si="19"/>
        <v>"alzheimer" : "dem_alzheimer"</v>
      </c>
      <c r="D61" s="5"/>
      <c r="E61" s="5" t="str">
        <f t="shared" si="19"/>
        <v>"hip" : "bones"</v>
      </c>
      <c r="F61" s="5"/>
      <c r="G61" s="5" t="str">
        <f t="shared" si="19"/>
        <v>"child_heart" : "cvd"</v>
      </c>
      <c r="H61" s="5"/>
      <c r="J61" s="5"/>
      <c r="L61" s="5"/>
      <c r="N61" s="5"/>
    </row>
    <row r="62" spans="3:15" x14ac:dyDescent="0.25">
      <c r="C62" s="5" t="str">
        <f t="shared" si="19"/>
        <v>"dementia" : "dem_alzheimer"</v>
      </c>
      <c r="D62" s="5"/>
      <c r="E62" s="5" t="str">
        <f t="shared" si="19"/>
        <v>"angin" : "cvd"</v>
      </c>
      <c r="F62" s="5"/>
      <c r="G62" s="5" t="str">
        <f t="shared" si="19"/>
        <v>"child_leuk" : "cancer"</v>
      </c>
      <c r="H62" s="5"/>
      <c r="J62" s="5"/>
      <c r="L62" s="5"/>
      <c r="N62" s="5"/>
    </row>
    <row r="63" spans="3:15" x14ac:dyDescent="0.25">
      <c r="C63" s="5" t="str">
        <f t="shared" si="19"/>
        <v>"depression" : "depression"</v>
      </c>
      <c r="D63" s="5"/>
      <c r="E63" s="5" t="str">
        <f t="shared" si="19"/>
        <v>"hrtatt" : "cvd"</v>
      </c>
      <c r="F63" s="5"/>
      <c r="G63" s="5" t="str">
        <f t="shared" si="19"/>
        <v>"child_cancer" : "cancer"</v>
      </c>
      <c r="H63" s="5"/>
      <c r="J63" s="5"/>
      <c r="L63" s="5"/>
      <c r="N63" s="5"/>
    </row>
    <row r="64" spans="3:15" x14ac:dyDescent="0.25">
      <c r="C64" s="5" t="str">
        <f t="shared" si="19"/>
        <v>"died" : "died"</v>
      </c>
      <c r="D64" s="5"/>
      <c r="E64" s="5" t="str">
        <f t="shared" si="19"/>
        <v>"hrtrhm" : "cvd"</v>
      </c>
      <c r="F64" s="5"/>
      <c r="H64" s="5"/>
      <c r="J64" s="5"/>
      <c r="L64" s="5"/>
      <c r="N64" s="5"/>
    </row>
    <row r="65" spans="3:15" x14ac:dyDescent="0.25">
      <c r="D65" s="5"/>
      <c r="E65" s="5" t="str">
        <f t="shared" ref="D65:O65" si="20">E43&amp;" : "&amp;F43</f>
        <v>"hrtmr" : "cvd"</v>
      </c>
      <c r="F65" s="5"/>
      <c r="H65" s="5"/>
      <c r="J65" s="5"/>
      <c r="L65" s="5"/>
      <c r="N65" s="5"/>
    </row>
    <row r="66" spans="3:15" x14ac:dyDescent="0.25">
      <c r="D66" s="5"/>
      <c r="E66" s="5" t="str">
        <f t="shared" si="19"/>
        <v>"osteo" : "bones"</v>
      </c>
      <c r="F66" s="5"/>
      <c r="H66" s="5"/>
      <c r="J66" s="5"/>
      <c r="L66" s="5"/>
      <c r="N66" s="5"/>
    </row>
    <row r="67" spans="3:15" x14ac:dyDescent="0.25">
      <c r="D67" s="5"/>
      <c r="E67" s="5" t="str">
        <f t="shared" si="19"/>
        <v>"hyster" : "hysterectomy"</v>
      </c>
      <c r="F67" s="5"/>
      <c r="H67" s="5"/>
      <c r="J67" s="5"/>
      <c r="L67" s="5"/>
      <c r="N67" s="5"/>
    </row>
    <row r="68" spans="3:15" x14ac:dyDescent="0.25">
      <c r="D68" s="5"/>
      <c r="E68" s="5" t="str">
        <f t="shared" si="19"/>
        <v>"hchol" : "cholesterol"</v>
      </c>
      <c r="F68" s="5"/>
      <c r="H68" s="5"/>
      <c r="J68" s="5"/>
      <c r="L68" s="5"/>
      <c r="N68" s="5"/>
    </row>
    <row r="69" spans="3:15" x14ac:dyDescent="0.25">
      <c r="D69" s="5"/>
      <c r="F69" s="5"/>
      <c r="H69" s="5"/>
      <c r="J69" s="5"/>
      <c r="L69" s="5"/>
      <c r="N69" s="5"/>
    </row>
    <row r="70" spans="3:15" x14ac:dyDescent="0.25">
      <c r="D70" s="5"/>
      <c r="F70" s="5"/>
      <c r="H70" s="5"/>
      <c r="J70" s="5"/>
      <c r="L70" s="5"/>
      <c r="N70" s="5"/>
    </row>
    <row r="72" spans="3:15" x14ac:dyDescent="0.25">
      <c r="C72" s="5" t="str">
        <f>C51</f>
        <v>"angina" : "cvd"</v>
      </c>
      <c r="E72" s="5" t="str">
        <f>C85&amp;","&amp;E51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</v>
      </c>
      <c r="G72" s="5" t="str">
        <f>E89&amp;","&amp;G51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</v>
      </c>
      <c r="I72" s="5" t="str">
        <f>G84&amp;","&amp;I51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</v>
      </c>
      <c r="K72" s="5" t="str">
        <f>I80&amp;","&amp;K51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</v>
      </c>
      <c r="M72" s="5" t="str">
        <f>K80&amp;","&amp;M51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</v>
      </c>
      <c r="O72" s="5" t="str">
        <f>M80&amp;","&amp;O51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"psych","fallinj_wave1" : "bones"</v>
      </c>
    </row>
    <row r="73" spans="3:15" x14ac:dyDescent="0.25">
      <c r="C73" s="5" t="str">
        <f>C72&amp;","&amp;C52</f>
        <v>"angina" : "cvd","heartattack" : "cvd"</v>
      </c>
      <c r="E73" s="5" t="str">
        <f>E72&amp;","&amp;E52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</v>
      </c>
      <c r="G73" s="5" t="str">
        <f>G72&amp;","&amp;G52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</v>
      </c>
      <c r="I73" s="5" t="str">
        <f>I72&amp;","&amp;I52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</v>
      </c>
      <c r="K73" s="5" t="str">
        <f t="shared" ref="K73:O80" si="21">K72&amp;","&amp;K52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</v>
      </c>
      <c r="M73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</v>
      </c>
      <c r="O73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"psych","fallinj_wave1" : "bones","fallinj_wave2" : "bones"</v>
      </c>
    </row>
    <row r="74" spans="3:15" x14ac:dyDescent="0.25">
      <c r="C74" s="5" t="str">
        <f t="shared" ref="C72:E86" si="22">C73&amp;","&amp;C53</f>
        <v>"angina" : "cvd","heartattack" : "cvd","chf" : "cvd"</v>
      </c>
      <c r="E74" s="5" t="str">
        <f t="shared" ref="E74:K89" si="23">E73&amp;","&amp;E53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</v>
      </c>
      <c r="G74" s="5" t="str">
        <f>G73&amp;","&amp;G53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</v>
      </c>
      <c r="I74" s="5" t="str">
        <f>I73&amp;","&amp;I53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</v>
      </c>
      <c r="K74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</v>
      </c>
      <c r="M74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</v>
      </c>
      <c r="O74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"psych","fallinj_wave1" : "bones","fallinj_wave2" : "bones","fallinj_wave3" : "bones"</v>
      </c>
    </row>
    <row r="75" spans="3:15" x14ac:dyDescent="0.25">
      <c r="C75" s="5" t="str">
        <f t="shared" si="22"/>
        <v>"angina" : "cvd","heartattack" : "cvd","chf" : "cvd","diabetes" : "diabetes"</v>
      </c>
      <c r="E75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</v>
      </c>
      <c r="G75" s="5" t="str">
        <f>G74&amp;","&amp;G54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</v>
      </c>
      <c r="I75" s="5" t="str">
        <f>I74&amp;","&amp;I54</f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</v>
      </c>
      <c r="K75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</v>
      </c>
      <c r="M75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</v>
      </c>
      <c r="O75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"psych","fallinj_wave1" : "bones","fallinj_wave2" : "bones","fallinj_wave3" : "bones","fallinj_wave4" : "bones"</v>
      </c>
    </row>
    <row r="76" spans="3:15" x14ac:dyDescent="0.25">
      <c r="C76" s="5" t="str">
        <f t="shared" si="22"/>
        <v>"angina" : "cvd","heartattack" : "cvd","chf" : "cvd","diabetes" : "diabetes","stroke" : "cvd"</v>
      </c>
      <c r="E76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</v>
      </c>
      <c r="G76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</v>
      </c>
      <c r="I76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</v>
      </c>
      <c r="K76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</v>
      </c>
      <c r="M76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</v>
      </c>
      <c r="O76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"psych","fallinj_wave1" : "bones","fallinj_wave2" : "bones","fallinj_wave3" : "bones","fallinj_wave4" : "bones","fallinj_wave5" : "bones"</v>
      </c>
    </row>
    <row r="77" spans="3:15" x14ac:dyDescent="0.25">
      <c r="C77" s="5" t="str">
        <f t="shared" si="22"/>
        <v>"angina" : "cvd","heartattack" : "cvd","chf" : "cvd","diabetes" : "diabetes","stroke" : "cvd","arthritis" : "arthritis"</v>
      </c>
      <c r="E77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</v>
      </c>
      <c r="G77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</v>
      </c>
      <c r="I77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</v>
      </c>
      <c r="K77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</v>
      </c>
      <c r="M77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</v>
      </c>
      <c r="O77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"psych","fallinj_wave1" : "bones","fallinj_wave2" : "bones","fallinj_wave3" : "bones","fallinj_wave4" : "bones","fallinj_wave5" : "bones","fallinj_wave6" : "bones"</v>
      </c>
    </row>
    <row r="78" spans="3:15" x14ac:dyDescent="0.25">
      <c r="C78" s="5" t="str">
        <f t="shared" si="22"/>
        <v>"angina" : "cvd","heartattack" : "cvd","chf" : "cvd","diabetes" : "diabetes","stroke" : "cvd","arthritis" : "arthritis","cancer" : "cancer"</v>
      </c>
      <c r="E78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</v>
      </c>
      <c r="G78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</v>
      </c>
      <c r="I78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</v>
      </c>
      <c r="K78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</v>
      </c>
      <c r="M78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</v>
      </c>
      <c r="O78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"psych","fallinj_wave1" : "bones","fallinj_wave2" : "bones","fallinj_wave3" : "bones","fallinj_wave4" : "bones","fallinj_wave5" : "bones","fallinj_wave6" : "bones","fallinj_wave7" : "bones"</v>
      </c>
    </row>
    <row r="79" spans="3:15" x14ac:dyDescent="0.25">
      <c r="C79" s="5" t="str">
        <f t="shared" si="22"/>
        <v>"angina" : "cvd","heartattack" : "cvd","chf" : "cvd","diabetes" : "diabetes","stroke" : "cvd","arthritis" : "arthritis","cancer" : "cancer","parkinson" : "parkinson"</v>
      </c>
      <c r="E79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</v>
      </c>
      <c r="G79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</v>
      </c>
      <c r="I79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</v>
      </c>
      <c r="K79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</v>
      </c>
      <c r="M79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</v>
      </c>
      <c r="O79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"psych","fallinj_wave1" : "bones","fallinj_wave2" : "bones","fallinj_wave3" : "bones","fallinj_wave4" : "bones","fallinj_wave5" : "bones","fallinj_wave6" : "bones","fallinj_wave7" : "bones","fallinj_wave8" : "bones"</v>
      </c>
    </row>
    <row r="80" spans="3:15" x14ac:dyDescent="0.25">
      <c r="C80" s="5" t="str">
        <f t="shared" si="22"/>
        <v>"angina" : "cvd","heartattack" : "cvd","chf" : "cvd","diabetes" : "diabetes","stroke" : "cvd","arthritis" : "arthritis","cancer" : "cancer","parkinson" : "parkinson","psych" : "psych"</v>
      </c>
      <c r="E80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</v>
      </c>
      <c r="G80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</v>
      </c>
      <c r="I80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</v>
      </c>
      <c r="K80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</v>
      </c>
      <c r="M80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</v>
      </c>
      <c r="O80" s="5" t="str">
        <f t="shared" si="21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"cancer","angin_wave1" : "cvd","angin_wave2" : "cvd","angin_wave3" : "cvd","angin_wave4" : "cvd","angin_wave5" : "cvd","angin_wave6" : "cvd","angin_wave7" : "cvd","angin_wave8" : "cvd","angin_wave9" : "cvd","hrtatt_wave1" : "cvd","hrtatt_wave2" : "cvd","hrtatt_wave3" : "cvd","hrtatt_wave4" : "cvd","hrtatt_wave5" : "cvd","hrtatt_wave6" : "cvd","hrtatt_wave7" : "cvd","hrtatt_wave8" : "cvd","hrtatt_wave9" : "cvd","psych_wave1" : "psych","psych_wave2" : "psych","psych_wave3" : "psych","psych_wave4" : "psych","psych_wave5" : "psych","psych_wave6" : "psych","psych_wave7" : "psych","psych_wave8" : "psych","psych_wave9" : "psych","fallinj_wave1" : "bones","fallinj_wave2" : "bones","fallinj_wave3" : "bones","fallinj_wave4" : "bones","fallinj_wave5" : "bones","fallinj_wave6" : "bones","fallinj_wave7" : "bones","fallinj_wave8" : "bones","fallinj_wave9" : "bones"</v>
      </c>
    </row>
    <row r="81" spans="3:9" x14ac:dyDescent="0.25">
      <c r="C81" s="5" t="str">
        <f t="shared" si="22"/>
        <v>"angina" : "cvd","heartattack" : "cvd","chf" : "cvd","diabetes" : "diabetes","stroke" : "cvd","arthritis" : "arthritis","cancer" : "cancer","parkinson" : "parkinson","psych" : "psych","last_period" : "last_period"</v>
      </c>
      <c r="E81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</v>
      </c>
      <c r="G81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</v>
      </c>
    </row>
    <row r="82" spans="3:9" x14ac:dyDescent="0.25">
      <c r="C82" s="5" t="str">
        <f t="shared" si="22"/>
        <v>"angina" : "cvd","heartattack" : "cvd","chf" : "cvd","diabetes" : "diabetes","stroke" : "cvd","arthritis" : "arthritis","cancer" : "cancer","parkinson" : "parkinson","psych" : "psych","last_period" : "last_period","alzheimer" : "dem_alzheimer"</v>
      </c>
      <c r="E82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</v>
      </c>
      <c r="G82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</v>
      </c>
      <c r="I82" s="5" t="str">
        <f t="shared" si="23"/>
        <v>,</v>
      </c>
    </row>
    <row r="83" spans="3:9" x14ac:dyDescent="0.25">
      <c r="C83" s="5" t="str">
        <f t="shared" si="22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</v>
      </c>
      <c r="E83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</v>
      </c>
      <c r="G83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</v>
      </c>
      <c r="I83" s="5" t="str">
        <f t="shared" si="23"/>
        <v>,,</v>
      </c>
    </row>
    <row r="84" spans="3:9" x14ac:dyDescent="0.25">
      <c r="C84" s="5" t="str">
        <f t="shared" si="22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</v>
      </c>
      <c r="E84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</v>
      </c>
      <c r="G84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"cholesterol","child_infect" : "","child_asthma" : "asthma_respir","child_resp" : "asthma_respir","child_allerg" : "remove!","child_hdache" : "remove!","child_epilepsy" : "psych","child_psych" : "psych","child_bones" : "bones","child_appdcts" : "remove!","child_diab" : "diabetes","child_heart" : "cvd","child_leuk" : "cancer","child_cancer" : "cancer"</v>
      </c>
      <c r="I84" s="5" t="str">
        <f t="shared" si="23"/>
        <v>,,,</v>
      </c>
    </row>
    <row r="85" spans="3:9" x14ac:dyDescent="0.25">
      <c r="C85" s="5" t="str">
        <f t="shared" si="22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</v>
      </c>
      <c r="E85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</v>
      </c>
      <c r="I85" s="5" t="str">
        <f t="shared" si="23"/>
        <v>,,,,</v>
      </c>
    </row>
    <row r="86" spans="3:9" x14ac:dyDescent="0.25">
      <c r="E86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</v>
      </c>
      <c r="I86" s="5" t="str">
        <f t="shared" si="23"/>
        <v>,,,,,</v>
      </c>
    </row>
    <row r="87" spans="3:9" x14ac:dyDescent="0.25">
      <c r="E87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</v>
      </c>
      <c r="I87" s="5" t="str">
        <f t="shared" si="23"/>
        <v>,,,,,,</v>
      </c>
    </row>
    <row r="88" spans="3:9" x14ac:dyDescent="0.25">
      <c r="E88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</v>
      </c>
      <c r="I88" s="5" t="str">
        <f t="shared" si="23"/>
        <v>,,,,,,,</v>
      </c>
    </row>
    <row r="89" spans="3:9" x14ac:dyDescent="0.25">
      <c r="E89" s="5" t="str">
        <f t="shared" si="23"/>
        <v>"angina" : "cvd","heartattack" : "cvd","chf" : "cvd","diabetes" : "diabetes","stroke" : "cvd","arthritis" : "arthritis","cancer" : "cancer","parkinson" : "parkinson","psych" : "psych","last_period" : "last_period","alzheimer" : "dem_alzheimer","dementia" : "dem_alzheimer","depression" : "depression","died" : "died","lung" : "asthma_respir","hibp" : "bones","diab" : "diabetes","cancr" : "cancer","heart" : "remove!","strok" : "cvd","arthr" : "arthritis","asthma" : "asthma_respir","catract" : "eye","parkin" : "parkinson","hip" : "bones","angin" : "cvd","hrtatt" : "cvd","hrtrhm" : "cvd","hrtmr" : "cvd","osteo" : "bones","hyster" : "hysterectomy","hchol" : "cholesterol"</v>
      </c>
      <c r="I89" s="5" t="str">
        <f t="shared" si="23"/>
        <v>,,,,,,,,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Shamsutdinova</dc:creator>
  <cp:lastModifiedBy>Diana Shamsutdinova</cp:lastModifiedBy>
  <dcterms:created xsi:type="dcterms:W3CDTF">2025-05-15T10:11:16Z</dcterms:created>
  <dcterms:modified xsi:type="dcterms:W3CDTF">2025-05-15T15:56:30Z</dcterms:modified>
</cp:coreProperties>
</file>